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hok Kumar\Downloads\"/>
    </mc:Choice>
  </mc:AlternateContent>
  <xr:revisionPtr revIDLastSave="0" documentId="13_ncr:1_{53689467-C12E-4336-833D-3F02648C56AB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Week 2 Transition" sheetId="1" r:id="rId1"/>
  </sheets>
  <calcPr calcId="191029"/>
</workbook>
</file>

<file path=xl/calcChain.xml><?xml version="1.0" encoding="utf-8"?>
<calcChain xmlns="http://schemas.openxmlformats.org/spreadsheetml/2006/main">
  <c r="E7" i="1" l="1"/>
  <c r="B7" i="1"/>
  <c r="E6" i="1"/>
  <c r="B6" i="1"/>
  <c r="E5" i="1"/>
  <c r="B5" i="1"/>
</calcChain>
</file>

<file path=xl/sharedStrings.xml><?xml version="1.0" encoding="utf-8"?>
<sst xmlns="http://schemas.openxmlformats.org/spreadsheetml/2006/main" count="133" uniqueCount="112">
  <si>
    <t>September Week 2 – Progress Review and Next Actions</t>
  </si>
  <si>
    <t>Based on the September Week 1 Report: Brownian Motion and Geometric Brownian Motion</t>
  </si>
  <si>
    <t>Progress Summary</t>
  </si>
  <si>
    <t>Value</t>
  </si>
  <si>
    <t>Progress Indicator</t>
  </si>
  <si>
    <t>Total action items</t>
  </si>
  <si>
    <t>Completed %</t>
  </si>
  <si>
    <t>Completed / Established</t>
  </si>
  <si>
    <t>In Progress %</t>
  </si>
  <si>
    <t>Next-stage items pending</t>
  </si>
  <si>
    <t>Not Started %</t>
  </si>
  <si>
    <t>Item</t>
  </si>
  <si>
    <t>What Has Been Completed</t>
  </si>
  <si>
    <t>What Is To Be Done Next</t>
  </si>
  <si>
    <t>Why It Is Needed</t>
  </si>
  <si>
    <t>Status</t>
  </si>
  <si>
    <t>1</t>
  </si>
  <si>
    <t>Standard normal random variables generated and statistically validated.</t>
  </si>
  <si>
    <t>Use the normal random variable as the building block of Brownian increments.</t>
  </si>
  <si>
    <t>Brownian motion is constructed from normally distributed increments; these increments drive the stochastic component of GBM.</t>
  </si>
  <si>
    <t>Completed</t>
  </si>
  <si>
    <t>2</t>
  </si>
  <si>
    <t>Brownian increments generated using ΔW = √Δt Z.</t>
  </si>
  <si>
    <t>Move from discrete Brownian increments to the continuous stochastic notation dW_t.</t>
  </si>
  <si>
    <t>This is the bridge from simulation to stochastic calculus and is required before applying Itô's lemma.</t>
  </si>
  <si>
    <t>3</t>
  </si>
  <si>
    <t>E[ΔW] ≈ 0 and Var(ΔW) ≈ Δt verified numerically over several Δt values.</t>
  </si>
  <si>
    <t>Interpret these properties within the continuous-time Brownian-motion framework.</t>
  </si>
  <si>
    <t>Black–Scholes uses a continuous stochastic process, not merely independent simulated normal draws.</t>
  </si>
  <si>
    <t>4</t>
  </si>
  <si>
    <t>SD(ΔW) ∝ √Δt verified by regression; fitted exponent is approximately 0.5.</t>
  </si>
  <si>
    <t>Connect the scaling law directly to the relation (dW)^2 = dt.</t>
  </si>
  <si>
    <t>This explains why second-order stochastic terms survive in Itô calculus.</t>
  </si>
  <si>
    <t>5</t>
  </si>
  <si>
    <t>Complete Brownian-motion paths constructed and their dispersion checked.</t>
  </si>
  <si>
    <t>Use Brownian motion as the stochastic driver in dS_t/S_t = μdt + σdW_t.</t>
  </si>
  <si>
    <t>This converts the abstract stochastic process into a financial asset-price model.</t>
  </si>
  <si>
    <t>6</t>
  </si>
  <si>
    <t>Independence and stationarity of Brownian increments examined.</t>
  </si>
  <si>
    <t>Compare these assumptions explicitly with the empirical dependence seen in market return magnitudes.</t>
  </si>
  <si>
    <t>The contrast identifies where GBM assumptions become restrictive for actual market data.</t>
  </si>
  <si>
    <t>7</t>
  </si>
  <si>
    <t>Quadratic variation investigated numerically and shown to converge appropriately.</t>
  </si>
  <si>
    <t>Use (dW)^2 = dt inside the stochastic Taylor expansion.</t>
  </si>
  <si>
    <t>Quadratic variation is the mathematical reason for the second-derivative term in Itô's lemma and the Black–Scholes PDE.</t>
  </si>
  <si>
    <t>8</t>
  </si>
  <si>
    <t>GBM simulation implemented using the exact analytical solution and validated against analytical moments.</t>
  </si>
  <si>
    <t>Derive the GBM solution analytically using f(S)=ln S and Itô's lemma.</t>
  </si>
  <si>
    <t>The formula already used computationally should now be derived rather than accepted as a given.</t>
  </si>
  <si>
    <t>9</t>
  </si>
  <si>
    <t>The separate roles of drift μ and volatility σ were studied numerically.</t>
  </si>
  <si>
    <t>Distinguish the physical drift μ from the risk-free rate r used in risk-neutral pricing.</t>
  </si>
  <si>
    <t>This distinction becomes essential when moving from asset dynamics to derivative valuation.</t>
  </si>
  <si>
    <t>10</t>
  </si>
  <si>
    <t>The earlier Taylor/Jensen interpretation was corrected and clearly distinguished from the true Itô correction.</t>
  </si>
  <si>
    <t>Formalize the Itô correction through d(ln S) = (μ − σ²/2)dt + σdW.</t>
  </si>
  <si>
    <t>This places the correction on the correct continuous-time stochastic-calculus foundation.</t>
  </si>
  <si>
    <t>11</t>
  </si>
  <si>
    <t>GBM was calibrated to NIFTY 50 mean and volatility.</t>
  </si>
  <si>
    <t>Retain the calibrated model as the classical benchmark for later pricing experiments.</t>
  </si>
  <si>
    <t>A fixed classical benchmark is needed before residual learning and hybrid ML comparisons are meaningful.</t>
  </si>
  <si>
    <t>12</t>
  </si>
  <si>
    <t>GBM and empirical NIFTY returns were compared directly.</t>
  </si>
  <si>
    <t>Carry forward the differences in skewness, kurtosis, tails and volatility clustering.</t>
  </si>
  <si>
    <t>These measured model limitations motivate the later AI/ML augmentation.</t>
  </si>
  <si>
    <t>13</t>
  </si>
  <si>
    <t>Heavy tails and volatility clustering were demonstrated empirically.</t>
  </si>
  <si>
    <t>Derive Black–Scholes under the simpler GBM assumptions while keeping these empirical limitations visible.</t>
  </si>
  <si>
    <t>The classical benchmark must be understood clearly before attempting to improve it.</t>
  </si>
  <si>
    <t>In Progress</t>
  </si>
  <si>
    <t>14</t>
  </si>
  <si>
    <t>The GBM framework and stochastic driver are established.</t>
  </si>
  <si>
    <t>Apply Itô's lemma to the derivative value V = V(S,t).</t>
  </si>
  <si>
    <t>This gives the stochastic dynamics of a derivative written on the underlying asset.</t>
  </si>
  <si>
    <t>Not Started</t>
  </si>
  <si>
    <t>15</t>
  </si>
  <si>
    <t>Asset-price dynamics are available in differential form.</t>
  </si>
  <si>
    <t>Construct the delta-hedged portfolio Π = V − ΔS.</t>
  </si>
  <si>
    <t>The hedge is needed to eliminate the Brownian dW exposure from the derivative portfolio.</t>
  </si>
  <si>
    <t>16</t>
  </si>
  <si>
    <t>The stochastic term in derivative dynamics can now be identified.</t>
  </si>
  <si>
    <t>Choose the hedge ratio Δ = V_S and show cancellation of the dW term.</t>
  </si>
  <si>
    <t>This is the key step that turns the derivative-plus-underlying portfolio locally riskless.</t>
  </si>
  <si>
    <t>17</t>
  </si>
  <si>
    <t>The locally riskless portfolio construction is ready.</t>
  </si>
  <si>
    <t>Apply the no-arbitrage condition dΠ = rΠdt.</t>
  </si>
  <si>
    <t>A locally riskless portfolio must earn the risk-free rate in the classical Black–Scholes argument.</t>
  </si>
  <si>
    <t>18</t>
  </si>
  <si>
    <t>The no-arbitrage framework is ready to be applied.</t>
  </si>
  <si>
    <t>Derive V_t + 0.5σ²S²V_SS + rSV_S − rV = 0.</t>
  </si>
  <si>
    <t>This is the Black–Scholes PDE and the central mathematical pricing equation for the project.</t>
  </si>
  <si>
    <t>19</t>
  </si>
  <si>
    <t>GBM limitations have already been quantified against NIFTY data.</t>
  </si>
  <si>
    <t>Interpret each term in the Black–Scholes PDE and identify the assumptions inherited from GBM.</t>
  </si>
  <si>
    <t>This keeps the PDE connected to the empirical evidence rather than treating it as a formal equation only.</t>
  </si>
  <si>
    <t>20</t>
  </si>
  <si>
    <t>The PDE framework will be established in Week 2.</t>
  </si>
  <si>
    <t>Introduce European call and put terminal payoff conditions.</t>
  </si>
  <si>
    <t>The PDE alone does not determine a unique option price; terminal conditions complete the pricing problem.</t>
  </si>
  <si>
    <t>21</t>
  </si>
  <si>
    <t>The mathematical pricing problem will then be complete.</t>
  </si>
  <si>
    <t>Implement analytical European call and put Black–Scholes formulas.</t>
  </si>
  <si>
    <t>These prices form the classical benchmark for all later numerical and ML comparisons.</t>
  </si>
  <si>
    <t>22</t>
  </si>
  <si>
    <t>Analytical pricing functions will be available.</t>
  </si>
  <si>
    <t>Verify put–call parity over a parameter grid.</t>
  </si>
  <si>
    <t>Put–call parity gives an independent financial consistency check on the implementation.</t>
  </si>
  <si>
    <t>23</t>
  </si>
  <si>
    <t>A validated classical pricing benchmark will be available.</t>
  </si>
  <si>
    <t>Perform parameter-sensitivity studies with respect to S, K, T, r and σ.</t>
  </si>
  <si>
    <t>These experiments build intuition for the nonlinear structure later represented by Greeks and ML models.</t>
  </si>
  <si>
    <t>Supervision principle: every next action is explicitly tied to an already established result from Week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</si>
</sst>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5"/>
      <color rgb="FFFFFFFF"/>
      <name val="Carlito"/>
    </font>
    <font>
      <i/>
      <sz val="10"/>
      <color rgb="FF1F1F1F"/>
      <name val="Carlito"/>
    </font>
    <font>
      <b/>
      <sz val="10"/>
      <color rgb="FFFFFFFF"/>
      <name val="Carlito"/>
    </font>
    <font>
      <b/>
      <i/>
      <sz val="11"/>
      <color rgb="FF1F4E7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9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4" fillId="4" borderId="0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2TransitionTable" displayName="Week2TransitionTable" ref="A10:E33" totalsRowShown="0">
  <tableColumns count="5">
    <tableColumn id="1" xr3:uid="{00000000-0010-0000-0000-000001000000}" name="Item"/>
    <tableColumn id="2" xr3:uid="{00000000-0010-0000-0000-000002000000}" name="What Has Been Completed"/>
    <tableColumn id="3" xr3:uid="{00000000-0010-0000-0000-000003000000}" name="What Is To Be Done Next"/>
    <tableColumn id="4" xr3:uid="{00000000-0010-0000-0000-000004000000}" name="Why It Is Needed"/>
    <tableColumn id="5" xr3:uid="{00000000-0010-0000-0000-000005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sqref="A1:E1"/>
    </sheetView>
  </sheetViews>
  <sheetFormatPr defaultRowHeight="14"/>
  <cols>
    <col min="1" max="1" width="21.25" bestFit="1" customWidth="1"/>
    <col min="2" max="3" width="34" customWidth="1"/>
    <col min="4" max="4" width="40" customWidth="1"/>
    <col min="5" max="5" width="16" customWidth="1"/>
  </cols>
  <sheetData>
    <row r="1" spans="1:5" ht="17.399999999999999" customHeight="1">
      <c r="A1" s="5" t="s">
        <v>0</v>
      </c>
      <c r="B1" s="5"/>
      <c r="C1" s="5"/>
      <c r="D1" s="5"/>
      <c r="E1" s="5"/>
    </row>
    <row r="2" spans="1:5" ht="14.65" customHeight="1">
      <c r="A2" s="6" t="s">
        <v>1</v>
      </c>
      <c r="B2" s="6"/>
      <c r="C2" s="6"/>
      <c r="D2" s="6"/>
      <c r="E2" s="6"/>
    </row>
    <row r="4" spans="1:5" ht="52">
      <c r="A4" s="1" t="s">
        <v>2</v>
      </c>
      <c r="B4" s="1" t="s">
        <v>3</v>
      </c>
      <c r="D4" s="1" t="s">
        <v>4</v>
      </c>
      <c r="E4" s="1" t="s">
        <v>3</v>
      </c>
    </row>
    <row r="5" spans="1:5">
      <c r="A5" t="s">
        <v>5</v>
      </c>
      <c r="B5">
        <f>COUNTA(A11:A33)</f>
        <v>23</v>
      </c>
      <c r="D5" t="s">
        <v>6</v>
      </c>
      <c r="E5" s="4">
        <f>COUNTIF(E11:E33,"Completed")/COUNTA(E11:E33)</f>
        <v>0.52173913043478259</v>
      </c>
    </row>
    <row r="6" spans="1:5">
      <c r="A6" t="s">
        <v>7</v>
      </c>
      <c r="B6">
        <f>COUNTIF(E11:E33,"Completed")</f>
        <v>12</v>
      </c>
      <c r="D6" t="s">
        <v>8</v>
      </c>
      <c r="E6" s="4">
        <f>COUNTIF(E11:E33,"In Progress")/COUNTA(E11:E33)</f>
        <v>4.3478260869565216E-2</v>
      </c>
    </row>
    <row r="7" spans="1:5">
      <c r="A7" t="s">
        <v>9</v>
      </c>
      <c r="B7">
        <f>COUNTIF(E11:E33,"Not Started")+COUNTIF(E11:E33,"In Progress")</f>
        <v>11</v>
      </c>
      <c r="D7" t="s">
        <v>10</v>
      </c>
      <c r="E7" s="4">
        <f>COUNTIF(E11:E33,"Not Started")/COUNTA(E11:E33)</f>
        <v>0.43478260869565216</v>
      </c>
    </row>
    <row r="10" spans="1:5" ht="22.65" customHeight="1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</row>
    <row r="11" spans="1:5" ht="42">
      <c r="A11" s="2" t="s">
        <v>16</v>
      </c>
      <c r="B11" s="3" t="s">
        <v>17</v>
      </c>
      <c r="C11" s="3" t="s">
        <v>18</v>
      </c>
      <c r="D11" s="3" t="s">
        <v>19</v>
      </c>
      <c r="E11" s="2" t="s">
        <v>20</v>
      </c>
    </row>
    <row r="12" spans="1:5" ht="42">
      <c r="A12" s="2" t="s">
        <v>21</v>
      </c>
      <c r="B12" s="3" t="s">
        <v>22</v>
      </c>
      <c r="C12" s="3" t="s">
        <v>23</v>
      </c>
      <c r="D12" s="3" t="s">
        <v>24</v>
      </c>
      <c r="E12" s="2" t="s">
        <v>20</v>
      </c>
    </row>
    <row r="13" spans="1:5" ht="42">
      <c r="A13" s="2" t="s">
        <v>25</v>
      </c>
      <c r="B13" s="3" t="s">
        <v>26</v>
      </c>
      <c r="C13" s="3" t="s">
        <v>27</v>
      </c>
      <c r="D13" s="3" t="s">
        <v>28</v>
      </c>
      <c r="E13" s="2" t="s">
        <v>20</v>
      </c>
    </row>
    <row r="14" spans="1:5" ht="28">
      <c r="A14" s="2" t="s">
        <v>29</v>
      </c>
      <c r="B14" s="3" t="s">
        <v>30</v>
      </c>
      <c r="C14" s="3" t="s">
        <v>31</v>
      </c>
      <c r="D14" s="3" t="s">
        <v>32</v>
      </c>
      <c r="E14" s="2" t="s">
        <v>20</v>
      </c>
    </row>
    <row r="15" spans="1:5" ht="42">
      <c r="A15" s="2" t="s">
        <v>33</v>
      </c>
      <c r="B15" s="3" t="s">
        <v>34</v>
      </c>
      <c r="C15" s="3" t="s">
        <v>35</v>
      </c>
      <c r="D15" s="3" t="s">
        <v>36</v>
      </c>
      <c r="E15" s="2" t="s">
        <v>20</v>
      </c>
    </row>
    <row r="16" spans="1:5" ht="42">
      <c r="A16" s="2" t="s">
        <v>37</v>
      </c>
      <c r="B16" s="3" t="s">
        <v>38</v>
      </c>
      <c r="C16" s="3" t="s">
        <v>39</v>
      </c>
      <c r="D16" s="3" t="s">
        <v>40</v>
      </c>
      <c r="E16" s="2" t="s">
        <v>20</v>
      </c>
    </row>
    <row r="17" spans="1:5" ht="42">
      <c r="A17" s="2" t="s">
        <v>41</v>
      </c>
      <c r="B17" s="3" t="s">
        <v>42</v>
      </c>
      <c r="C17" s="3" t="s">
        <v>43</v>
      </c>
      <c r="D17" s="3" t="s">
        <v>44</v>
      </c>
      <c r="E17" s="2" t="s">
        <v>20</v>
      </c>
    </row>
    <row r="18" spans="1:5" ht="42">
      <c r="A18" s="2" t="s">
        <v>45</v>
      </c>
      <c r="B18" s="3" t="s">
        <v>46</v>
      </c>
      <c r="C18" s="3" t="s">
        <v>47</v>
      </c>
      <c r="D18" s="3" t="s">
        <v>48</v>
      </c>
      <c r="E18" s="2" t="s">
        <v>20</v>
      </c>
    </row>
    <row r="19" spans="1:5" ht="28">
      <c r="A19" s="2" t="s">
        <v>49</v>
      </c>
      <c r="B19" s="3" t="s">
        <v>50</v>
      </c>
      <c r="C19" s="3" t="s">
        <v>51</v>
      </c>
      <c r="D19" s="3" t="s">
        <v>52</v>
      </c>
      <c r="E19" s="2" t="s">
        <v>20</v>
      </c>
    </row>
    <row r="20" spans="1:5" ht="42">
      <c r="A20" s="2" t="s">
        <v>53</v>
      </c>
      <c r="B20" s="3" t="s">
        <v>54</v>
      </c>
      <c r="C20" s="3" t="s">
        <v>55</v>
      </c>
      <c r="D20" s="3" t="s">
        <v>56</v>
      </c>
      <c r="E20" s="2" t="s">
        <v>20</v>
      </c>
    </row>
    <row r="21" spans="1:5" ht="42">
      <c r="A21" s="2" t="s">
        <v>57</v>
      </c>
      <c r="B21" s="3" t="s">
        <v>58</v>
      </c>
      <c r="C21" s="3" t="s">
        <v>59</v>
      </c>
      <c r="D21" s="3" t="s">
        <v>60</v>
      </c>
      <c r="E21" s="2" t="s">
        <v>20</v>
      </c>
    </row>
    <row r="22" spans="1:5" ht="42">
      <c r="A22" s="2" t="s">
        <v>61</v>
      </c>
      <c r="B22" s="3" t="s">
        <v>62</v>
      </c>
      <c r="C22" s="3" t="s">
        <v>63</v>
      </c>
      <c r="D22" s="3" t="s">
        <v>64</v>
      </c>
      <c r="E22" s="2" t="s">
        <v>20</v>
      </c>
    </row>
    <row r="23" spans="1:5" ht="42">
      <c r="A23" s="2" t="s">
        <v>65</v>
      </c>
      <c r="B23" s="3" t="s">
        <v>66</v>
      </c>
      <c r="C23" s="3" t="s">
        <v>67</v>
      </c>
      <c r="D23" s="3" t="s">
        <v>68</v>
      </c>
      <c r="E23" s="2" t="s">
        <v>69</v>
      </c>
    </row>
    <row r="24" spans="1:5" ht="28">
      <c r="A24" s="2" t="s">
        <v>70</v>
      </c>
      <c r="B24" s="3" t="s">
        <v>71</v>
      </c>
      <c r="C24" s="3" t="s">
        <v>72</v>
      </c>
      <c r="D24" s="3" t="s">
        <v>73</v>
      </c>
      <c r="E24" s="2" t="s">
        <v>74</v>
      </c>
    </row>
    <row r="25" spans="1:5" ht="28">
      <c r="A25" s="2" t="s">
        <v>75</v>
      </c>
      <c r="B25" s="3" t="s">
        <v>76</v>
      </c>
      <c r="C25" s="3" t="s">
        <v>77</v>
      </c>
      <c r="D25" s="3" t="s">
        <v>78</v>
      </c>
      <c r="E25" s="2" t="s">
        <v>74</v>
      </c>
    </row>
    <row r="26" spans="1:5" ht="28">
      <c r="A26" s="2" t="s">
        <v>79</v>
      </c>
      <c r="B26" s="3" t="s">
        <v>80</v>
      </c>
      <c r="C26" s="3" t="s">
        <v>81</v>
      </c>
      <c r="D26" s="3" t="s">
        <v>82</v>
      </c>
      <c r="E26" s="2" t="s">
        <v>74</v>
      </c>
    </row>
    <row r="27" spans="1:5" ht="28">
      <c r="A27" s="2" t="s">
        <v>83</v>
      </c>
      <c r="B27" s="3" t="s">
        <v>84</v>
      </c>
      <c r="C27" s="3" t="s">
        <v>85</v>
      </c>
      <c r="D27" s="3" t="s">
        <v>86</v>
      </c>
      <c r="E27" s="2" t="s">
        <v>74</v>
      </c>
    </row>
    <row r="28" spans="1:5" ht="28">
      <c r="A28" s="2" t="s">
        <v>87</v>
      </c>
      <c r="B28" s="3" t="s">
        <v>88</v>
      </c>
      <c r="C28" s="3" t="s">
        <v>89</v>
      </c>
      <c r="D28" s="3" t="s">
        <v>90</v>
      </c>
      <c r="E28" s="2" t="s">
        <v>74</v>
      </c>
    </row>
    <row r="29" spans="1:5" ht="42">
      <c r="A29" s="2" t="s">
        <v>91</v>
      </c>
      <c r="B29" s="3" t="s">
        <v>92</v>
      </c>
      <c r="C29" s="3" t="s">
        <v>93</v>
      </c>
      <c r="D29" s="3" t="s">
        <v>94</v>
      </c>
      <c r="E29" s="2" t="s">
        <v>74</v>
      </c>
    </row>
    <row r="30" spans="1:5" ht="42">
      <c r="A30" s="2" t="s">
        <v>95</v>
      </c>
      <c r="B30" s="3" t="s">
        <v>96</v>
      </c>
      <c r="C30" s="3" t="s">
        <v>97</v>
      </c>
      <c r="D30" s="3" t="s">
        <v>98</v>
      </c>
      <c r="E30" s="2" t="s">
        <v>74</v>
      </c>
    </row>
    <row r="31" spans="1:5" ht="28">
      <c r="A31" s="2" t="s">
        <v>99</v>
      </c>
      <c r="B31" s="3" t="s">
        <v>100</v>
      </c>
      <c r="C31" s="3" t="s">
        <v>101</v>
      </c>
      <c r="D31" s="3" t="s">
        <v>102</v>
      </c>
      <c r="E31" s="2" t="s">
        <v>74</v>
      </c>
    </row>
    <row r="32" spans="1:5" ht="28">
      <c r="A32" s="2" t="s">
        <v>103</v>
      </c>
      <c r="B32" s="3" t="s">
        <v>104</v>
      </c>
      <c r="C32" s="3" t="s">
        <v>105</v>
      </c>
      <c r="D32" s="3" t="s">
        <v>106</v>
      </c>
      <c r="E32" s="2" t="s">
        <v>74</v>
      </c>
    </row>
    <row r="33" spans="1:5" ht="42">
      <c r="A33" s="2" t="s">
        <v>107</v>
      </c>
      <c r="B33" s="3" t="s">
        <v>108</v>
      </c>
      <c r="C33" s="3" t="s">
        <v>109</v>
      </c>
      <c r="D33" s="3" t="s">
        <v>110</v>
      </c>
      <c r="E33" s="2" t="s">
        <v>74</v>
      </c>
    </row>
    <row r="35" spans="1:5">
      <c r="A35" s="7" t="s">
        <v>111</v>
      </c>
      <c r="B35" s="7"/>
      <c r="C35" s="7"/>
      <c r="D35" s="7"/>
      <c r="E35" s="7"/>
    </row>
  </sheetData>
  <mergeCells count="3">
    <mergeCell ref="A1:E1"/>
    <mergeCell ref="A2:E2"/>
    <mergeCell ref="A35:E35"/>
  </mergeCells>
  <conditionalFormatting sqref="E11:E33">
    <cfRule type="expression" dxfId="2" priority="1">
      <formula>E11="Completed"</formula>
    </cfRule>
    <cfRule type="expression" dxfId="1" priority="2">
      <formula>E11="In Progress"</formula>
    </cfRule>
    <cfRule type="expression" dxfId="0" priority="3">
      <formula>E11="Not Started"</formula>
    </cfRule>
  </conditionalFormatting>
  <conditionalFormatting sqref="E5:E7">
    <cfRule type="dataBar" priority="4">
      <dataBar>
        <cfvo type="min"/>
        <cfvo type="max"/>
        <color rgb="FFA02B93"/>
      </dataBar>
    </cfRule>
  </conditionalFormatting>
  <conditionalFormatting sqref="E5:E7">
    <cfRule type="dataBar" priority="5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{E57B36CD-1821-3907-53E9-2F2509D06A42}</x14:id>
        </ext>
      </extLst>
    </cfRule>
  </conditionalFormatting>
  <dataValidations count="1">
    <dataValidation type="list" sqref="E11:E33" xr:uid="{00000000-0002-0000-0000-000000000000}">
      <formula1>"Completed,In Progress,Not Started"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7B36CD-1821-3907-53E9-2F2509D06A42}">
            <x14:dataBar>
              <x14:cfvo type="min"/>
              <x14:cfvo type="max"/>
              <x14:negativeFillColor auto="1"/>
              <x14:axisColor auto="1"/>
            </x14:dataBar>
          </x14:cfRule>
          <xm:sqref>E5:E7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 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Ashok Kumar</cp:lastModifiedBy>
  <dcterms:modified xsi:type="dcterms:W3CDTF">2026-09-10T04:03:56Z</dcterms:modified>
</cp:coreProperties>
</file>